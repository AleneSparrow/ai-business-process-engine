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Чек-лист" sheetId="1" state="visible" r:id="rId3"/>
    <sheet name="Summary" sheetId="2" state="visible" r:id="rId4"/>
  </sheets>
  <definedNames>
    <definedName function="false" hidden="true" localSheetId="0" name="_xlnm._FilterDatabase" vbProcedure="false">'Чек-лист'!$A$1:$G$24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<sst xmlns="http://schemas.openxmlformats.org/spreadsheetml/2006/main" count="154" uniqueCount="78">
  <si>
    <t xml:space="preserve">#</t>
  </si>
  <si>
    <t xml:space="preserve">Категория</t>
  </si>
  <si>
    <t xml:space="preserve">Задача</t>
  </si>
  <si>
    <t xml:space="preserve">Владелец</t>
  </si>
  <si>
    <t xml:space="preserve">Статус</t>
  </si>
  <si>
    <t xml:space="preserve">Приоритет</t>
  </si>
  <si>
    <t xml:space="preserve">Комментарий / источник</t>
  </si>
  <si>
    <t xml:space="preserve">Фаза 0 — блокеры продаж</t>
  </si>
  <si>
    <t xml:space="preserve">Перевести Lemon Squeezy из Test mode в боевой режим</t>
  </si>
  <si>
    <t xml:space="preserve">Alena</t>
  </si>
  <si>
    <t xml:space="preserve">Не начато</t>
  </si>
  <si>
    <t xml:space="preserve">Критично</t>
  </si>
  <si>
    <t xml:space="preserve">Без этого физически нет реальной выручки</t>
  </si>
  <si>
    <t xml:space="preserve">Консультация с юристом по UPL (Калифорния и Нью-Йорк)</t>
  </si>
  <si>
    <t xml:space="preserve">Бриф готов: docs/legal/flywheel-upl-legal-research-brief.docx</t>
  </si>
  <si>
    <t xml:space="preserve">Реальная доставка SMS и/или email</t>
  </si>
  <si>
    <t xml:space="preserve">Технический воркспейс</t>
  </si>
  <si>
    <t xml:space="preserve">Высокий</t>
  </si>
  <si>
    <t xml:space="preserve">Сегодня работает только веб-виджет</t>
  </si>
  <si>
    <t xml:space="preserve">Пересохранить Settings (часовой пояс) для test-law-firm и riverside-home-repairs</t>
  </si>
  <si>
    <t xml:space="preserve">Низкий</t>
  </si>
  <si>
    <t xml:space="preserve">Код уже исправлен, нужно разовое действие</t>
  </si>
  <si>
    <t xml:space="preserve">Решить: чинить ли тупиковое состояние LOST при опечатке клиента</t>
  </si>
  <si>
    <t xml:space="preserve">Средний</t>
  </si>
  <si>
    <t xml:space="preserve">Открытое решение из живого QA</t>
  </si>
  <si>
    <t xml:space="preserve">Запустить scripts/inspect_qualification_rules.py на test-law-firm</t>
  </si>
  <si>
    <t xml:space="preserve">Диагностика протухшего правила квалификации</t>
  </si>
  <si>
    <t xml:space="preserve">Технический бэклог</t>
  </si>
  <si>
    <t xml:space="preserve">P1: мультистаффинг для Pro (инвайт, лимиты мест, специализация, роутинг эскалаций, фильтр дашборда)</t>
  </si>
  <si>
    <t xml:space="preserve">Нужен к мес. 3–4 по математике стратегии продаж</t>
  </si>
  <si>
    <t xml:space="preserve">P2: поле атрибуции реферала (referral_source)</t>
  </si>
  <si>
    <t xml:space="preserve">Growth-ops, дёшево</t>
  </si>
  <si>
    <t xml:space="preserve">P3: вебхук Clio на события QUALIFIED/WON</t>
  </si>
  <si>
    <t xml:space="preserve">Поддерживает основной канал открытия Волны 1</t>
  </si>
  <si>
    <t xml:space="preserve">Нормализация штатов в гео-скрининге (California = CA)</t>
  </si>
  <si>
    <t xml:space="preserve">Сейчас точное совпадение строк</t>
  </si>
  <si>
    <t xml:space="preserve">Settings UI для compliance_disclaimer / ai_disclosure_text</t>
  </si>
  <si>
    <t xml:space="preserve">Сейчас только через прямой PUT /dna</t>
  </si>
  <si>
    <t xml:space="preserve">Синхронизация с Google Calendar для бронирования</t>
  </si>
  <si>
    <t xml:space="preserve">Обсуждалось, не начато</t>
  </si>
  <si>
    <t xml:space="preserve">Раздел «код для сайта» в Settings (self-serve &lt;script&gt;)</t>
  </si>
  <si>
    <t xml:space="preserve">Отложено ранее по явному выбору</t>
  </si>
  <si>
    <t xml:space="preserve">Бренд и юр.лицо</t>
  </si>
  <si>
    <t xml:space="preserve">Фактическое переименование Atelier → Flywheel в коде/Vercel/Railway/Lemon Squeezy</t>
  </si>
  <si>
    <t xml:space="preserve">Alena + Технический воркспейс</t>
  </si>
  <si>
    <t xml:space="preserve">Сейчас только бренд-материалы и план</t>
  </si>
  <si>
    <t xml:space="preserve">Купить домен(ы) и зарезервировать соцсети под Flywheel</t>
  </si>
  <si>
    <t xml:space="preserve">Clearance-проверка товарного знака у поверенного (USPTO TESS)</t>
  </si>
  <si>
    <t xml:space="preserve">Alena / юрист</t>
  </si>
  <si>
    <t xml:space="preserve">Не блокирует продажи</t>
  </si>
  <si>
    <t xml:space="preserve">Регистрация юрлица в Дубае</t>
  </si>
  <si>
    <t xml:space="preserve">Отложено осознанно</t>
  </si>
  <si>
    <t xml:space="preserve">—</t>
  </si>
  <si>
    <t xml:space="preserve">После выхода на $50K/мес — это решение, не забытая задача</t>
  </si>
  <si>
    <t xml:space="preserve">Открытые решения</t>
  </si>
  <si>
    <t xml:space="preserve">Меняется ли заявитель товарного знака вместе с ребрендом</t>
  </si>
  <si>
    <t xml:space="preserve">Влияет на то, кто подаёт заявку</t>
  </si>
  <si>
    <t xml:space="preserve">Стартовать в CA и NY одновременно или сначала в одном штате</t>
  </si>
  <si>
    <t xml:space="preserve">С учётом риска NY SB 7263 из UPL-брифа</t>
  </si>
  <si>
    <t xml:space="preserve">Финальный срок Фазы 0</t>
  </si>
  <si>
    <t xml:space="preserve">Сейчас диапазон 2–4 недели</t>
  </si>
  <si>
    <t xml:space="preserve">Агрессивный vs консервативный сценарий продаж</t>
  </si>
  <si>
    <t xml:space="preserve">Запланировано</t>
  </si>
  <si>
    <t xml:space="preserve">Точка решения — конец месяца 2, критерии заданы в стратегии</t>
  </si>
  <si>
    <t xml:space="preserve">Продажи / GTM — следующий шаг</t>
  </si>
  <si>
    <t xml:space="preserve">Заполнить трекер первыми 50 реальными аккаунтами</t>
  </si>
  <si>
    <t xml:space="preserve">docs/sales/flywheel-wave1-outreach-tracker.xlsx + playbook</t>
  </si>
  <si>
    <t xml:space="preserve">Начать outbound (LinkedIn/email) после закрытия Фазы 0</t>
  </si>
  <si>
    <t xml:space="preserve">Материалы готовы: docs/marketing/</t>
  </si>
  <si>
    <t xml:space="preserve">Flywheel — сводка по чек-листу</t>
  </si>
  <si>
    <t xml:space="preserve">Считается автоматически по вкладке «Чек-лист».</t>
  </si>
  <si>
    <t xml:space="preserve">Метрика</t>
  </si>
  <si>
    <t xml:space="preserve">Значение</t>
  </si>
  <si>
    <t xml:space="preserve">Всего задач</t>
  </si>
  <si>
    <t xml:space="preserve">Готово</t>
  </si>
  <si>
    <t xml:space="preserve">В работе</t>
  </si>
  <si>
    <t xml:space="preserve">Заблокировано</t>
  </si>
  <si>
    <t xml:space="preserve">Критичных задач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</si>
</sst>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F5C6C6"/>
          <bgColor rgb="FF000000"/>
        </patternFill>
      </fill>
    </dxf>
    <dxf>
      <fill>
        <patternFill patternType="solid">
          <fgColor rgb="FFFBDCB5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>
          <bgColor rgb="FFC6E8C6"/>
        </patternFill>
      </fill>
    </dxf>
    <dxf>
      <fill>
        <patternFill>
          <bgColor rgb="FFFFF3B0"/>
        </patternFill>
      </fill>
    </dxf>
    <dxf>
      <fill>
        <patternFill>
          <bgColor rgb="FFF5C6C6"/>
        </patternFill>
      </fill>
    </dxf>
    <dxf>
      <fill>
        <patternFill>
          <bgColor rgb="FFE6E6E6"/>
        </patternFill>
      </fill>
    </dxf>
    <dxf>
      <fill>
        <patternFill>
          <bgColor rgb="FFFBDC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5C6C6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3B0"/>
      <rgbColor rgb="FF99CCFF"/>
      <rgbColor rgb="FFFF99CC"/>
      <rgbColor rgb="FFCC99FF"/>
      <rgbColor rgb="FFFBDCB5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1.5" hidden="false" customHeight="true" outlineLevel="0" collapsed="false">
      <c r="A2" s="2" t="n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customFormat="false" ht="31.5" hidden="false" customHeight="true" outlineLevel="0" collapsed="false">
      <c r="A3" s="2" t="n">
        <v>2</v>
      </c>
      <c r="B3" s="3" t="s">
        <v>7</v>
      </c>
      <c r="C3" s="3" t="s">
        <v>13</v>
      </c>
      <c r="D3" s="3" t="s">
        <v>9</v>
      </c>
      <c r="E3" s="3" t="s">
        <v>10</v>
      </c>
      <c r="F3" s="3" t="s">
        <v>11</v>
      </c>
      <c r="G3" s="3" t="s">
        <v>14</v>
      </c>
    </row>
    <row r="4" customFormat="false" ht="31.5" hidden="false" customHeight="true" outlineLevel="0" collapsed="false">
      <c r="A4" s="2" t="n">
        <v>3</v>
      </c>
      <c r="B4" s="3" t="s">
        <v>7</v>
      </c>
      <c r="C4" s="3" t="s">
        <v>15</v>
      </c>
      <c r="D4" s="3" t="s">
        <v>16</v>
      </c>
      <c r="E4" s="3" t="s">
        <v>10</v>
      </c>
      <c r="F4" s="3" t="s">
        <v>17</v>
      </c>
      <c r="G4" s="3" t="s">
        <v>18</v>
      </c>
    </row>
    <row r="5" customFormat="false" ht="31.5" hidden="false" customHeight="true" outlineLevel="0" collapsed="false">
      <c r="A5" s="2" t="n">
        <v>4</v>
      </c>
      <c r="B5" s="3" t="s">
        <v>7</v>
      </c>
      <c r="C5" s="3" t="s">
        <v>19</v>
      </c>
      <c r="D5" s="3" t="s">
        <v>9</v>
      </c>
      <c r="E5" s="3" t="s">
        <v>10</v>
      </c>
      <c r="F5" s="3" t="s">
        <v>20</v>
      </c>
      <c r="G5" s="3" t="s">
        <v>21</v>
      </c>
    </row>
    <row r="6" customFormat="false" ht="31.5" hidden="false" customHeight="true" outlineLevel="0" collapsed="false">
      <c r="A6" s="2" t="n">
        <v>5</v>
      </c>
      <c r="B6" s="3" t="s">
        <v>7</v>
      </c>
      <c r="C6" s="3" t="s">
        <v>22</v>
      </c>
      <c r="D6" s="3" t="s">
        <v>9</v>
      </c>
      <c r="E6" s="3" t="s">
        <v>10</v>
      </c>
      <c r="F6" s="3" t="s">
        <v>23</v>
      </c>
      <c r="G6" s="3" t="s">
        <v>24</v>
      </c>
    </row>
    <row r="7" customFormat="false" ht="31.5" hidden="false" customHeight="true" outlineLevel="0" collapsed="false">
      <c r="A7" s="2" t="n">
        <v>6</v>
      </c>
      <c r="B7" s="3" t="s">
        <v>7</v>
      </c>
      <c r="C7" s="3" t="s">
        <v>25</v>
      </c>
      <c r="D7" s="3" t="s">
        <v>9</v>
      </c>
      <c r="E7" s="3" t="s">
        <v>10</v>
      </c>
      <c r="F7" s="3" t="s">
        <v>20</v>
      </c>
      <c r="G7" s="3" t="s">
        <v>26</v>
      </c>
    </row>
    <row r="8" customFormat="false" ht="31.5" hidden="false" customHeight="true" outlineLevel="0" collapsed="false">
      <c r="A8" s="2" t="n">
        <v>7</v>
      </c>
      <c r="B8" s="3" t="s">
        <v>27</v>
      </c>
      <c r="C8" s="3" t="s">
        <v>28</v>
      </c>
      <c r="D8" s="3" t="s">
        <v>16</v>
      </c>
      <c r="E8" s="3" t="s">
        <v>10</v>
      </c>
      <c r="F8" s="3" t="s">
        <v>17</v>
      </c>
      <c r="G8" s="3" t="s">
        <v>29</v>
      </c>
    </row>
    <row r="9" customFormat="false" ht="31.5" hidden="false" customHeight="true" outlineLevel="0" collapsed="false">
      <c r="A9" s="2" t="n">
        <v>8</v>
      </c>
      <c r="B9" s="3" t="s">
        <v>27</v>
      </c>
      <c r="C9" s="3" t="s">
        <v>30</v>
      </c>
      <c r="D9" s="3" t="s">
        <v>16</v>
      </c>
      <c r="E9" s="3" t="s">
        <v>10</v>
      </c>
      <c r="F9" s="3" t="s">
        <v>20</v>
      </c>
      <c r="G9" s="3" t="s">
        <v>31</v>
      </c>
    </row>
    <row r="10" customFormat="false" ht="31.5" hidden="false" customHeight="true" outlineLevel="0" collapsed="false">
      <c r="A10" s="2" t="n">
        <v>9</v>
      </c>
      <c r="B10" s="3" t="s">
        <v>27</v>
      </c>
      <c r="C10" s="3" t="s">
        <v>32</v>
      </c>
      <c r="D10" s="3" t="s">
        <v>16</v>
      </c>
      <c r="E10" s="3" t="s">
        <v>10</v>
      </c>
      <c r="F10" s="3" t="s">
        <v>23</v>
      </c>
      <c r="G10" s="3" t="s">
        <v>33</v>
      </c>
    </row>
    <row r="11" customFormat="false" ht="31.5" hidden="false" customHeight="true" outlineLevel="0" collapsed="false">
      <c r="A11" s="2" t="n">
        <v>10</v>
      </c>
      <c r="B11" s="3" t="s">
        <v>27</v>
      </c>
      <c r="C11" s="3" t="s">
        <v>34</v>
      </c>
      <c r="D11" s="3" t="s">
        <v>16</v>
      </c>
      <c r="E11" s="3" t="s">
        <v>10</v>
      </c>
      <c r="F11" s="3" t="s">
        <v>20</v>
      </c>
      <c r="G11" s="3" t="s">
        <v>35</v>
      </c>
    </row>
    <row r="12" customFormat="false" ht="31.5" hidden="false" customHeight="true" outlineLevel="0" collapsed="false">
      <c r="A12" s="2" t="n">
        <v>11</v>
      </c>
      <c r="B12" s="3" t="s">
        <v>27</v>
      </c>
      <c r="C12" s="3" t="s">
        <v>36</v>
      </c>
      <c r="D12" s="3" t="s">
        <v>16</v>
      </c>
      <c r="E12" s="3" t="s">
        <v>10</v>
      </c>
      <c r="F12" s="3" t="s">
        <v>20</v>
      </c>
      <c r="G12" s="3" t="s">
        <v>37</v>
      </c>
    </row>
    <row r="13" customFormat="false" ht="31.5" hidden="false" customHeight="true" outlineLevel="0" collapsed="false">
      <c r="A13" s="2" t="n">
        <v>12</v>
      </c>
      <c r="B13" s="3" t="s">
        <v>27</v>
      </c>
      <c r="C13" s="3" t="s">
        <v>38</v>
      </c>
      <c r="D13" s="3" t="s">
        <v>16</v>
      </c>
      <c r="E13" s="3" t="s">
        <v>10</v>
      </c>
      <c r="F13" s="3" t="s">
        <v>23</v>
      </c>
      <c r="G13" s="3" t="s">
        <v>39</v>
      </c>
    </row>
    <row r="14" customFormat="false" ht="31.5" hidden="false" customHeight="true" outlineLevel="0" collapsed="false">
      <c r="A14" s="2" t="n">
        <v>13</v>
      </c>
      <c r="B14" s="3" t="s">
        <v>27</v>
      </c>
      <c r="C14" s="3" t="s">
        <v>40</v>
      </c>
      <c r="D14" s="3" t="s">
        <v>16</v>
      </c>
      <c r="E14" s="3" t="s">
        <v>10</v>
      </c>
      <c r="F14" s="3" t="s">
        <v>20</v>
      </c>
      <c r="G14" s="3" t="s">
        <v>41</v>
      </c>
    </row>
    <row r="15" customFormat="false" ht="31.5" hidden="false" customHeight="true" outlineLevel="0" collapsed="false">
      <c r="A15" s="2" t="n">
        <v>14</v>
      </c>
      <c r="B15" s="3" t="s">
        <v>42</v>
      </c>
      <c r="C15" s="3" t="s">
        <v>43</v>
      </c>
      <c r="D15" s="3" t="s">
        <v>44</v>
      </c>
      <c r="E15" s="3" t="s">
        <v>10</v>
      </c>
      <c r="F15" s="3" t="s">
        <v>23</v>
      </c>
      <c r="G15" s="3" t="s">
        <v>45</v>
      </c>
    </row>
    <row r="16" customFormat="false" ht="31.5" hidden="false" customHeight="true" outlineLevel="0" collapsed="false">
      <c r="A16" s="2" t="n">
        <v>15</v>
      </c>
      <c r="B16" s="3" t="s">
        <v>42</v>
      </c>
      <c r="C16" s="3" t="s">
        <v>46</v>
      </c>
      <c r="D16" s="3" t="s">
        <v>9</v>
      </c>
      <c r="E16" s="3" t="s">
        <v>10</v>
      </c>
      <c r="F16" s="3" t="s">
        <v>23</v>
      </c>
      <c r="G16" s="3"/>
    </row>
    <row r="17" customFormat="false" ht="31.5" hidden="false" customHeight="true" outlineLevel="0" collapsed="false">
      <c r="A17" s="2" t="n">
        <v>16</v>
      </c>
      <c r="B17" s="3" t="s">
        <v>42</v>
      </c>
      <c r="C17" s="3" t="s">
        <v>47</v>
      </c>
      <c r="D17" s="3" t="s">
        <v>48</v>
      </c>
      <c r="E17" s="3" t="s">
        <v>10</v>
      </c>
      <c r="F17" s="3" t="s">
        <v>20</v>
      </c>
      <c r="G17" s="3" t="s">
        <v>49</v>
      </c>
    </row>
    <row r="18" customFormat="false" ht="31.5" hidden="false" customHeight="true" outlineLevel="0" collapsed="false">
      <c r="A18" s="2" t="n">
        <v>17</v>
      </c>
      <c r="B18" s="3" t="s">
        <v>42</v>
      </c>
      <c r="C18" s="3" t="s">
        <v>50</v>
      </c>
      <c r="D18" s="3" t="s">
        <v>9</v>
      </c>
      <c r="E18" s="3" t="s">
        <v>51</v>
      </c>
      <c r="F18" s="3" t="s">
        <v>52</v>
      </c>
      <c r="G18" s="3" t="s">
        <v>53</v>
      </c>
    </row>
    <row r="19" customFormat="false" ht="31.5" hidden="false" customHeight="true" outlineLevel="0" collapsed="false">
      <c r="A19" s="2" t="n">
        <v>18</v>
      </c>
      <c r="B19" s="3" t="s">
        <v>54</v>
      </c>
      <c r="C19" s="3" t="s">
        <v>55</v>
      </c>
      <c r="D19" s="3" t="s">
        <v>9</v>
      </c>
      <c r="E19" s="3" t="s">
        <v>10</v>
      </c>
      <c r="F19" s="3" t="s">
        <v>20</v>
      </c>
      <c r="G19" s="3" t="s">
        <v>56</v>
      </c>
    </row>
    <row r="20" customFormat="false" ht="31.5" hidden="false" customHeight="true" outlineLevel="0" collapsed="false">
      <c r="A20" s="2" t="n">
        <v>19</v>
      </c>
      <c r="B20" s="3" t="s">
        <v>54</v>
      </c>
      <c r="C20" s="3" t="s">
        <v>57</v>
      </c>
      <c r="D20" s="3" t="s">
        <v>9</v>
      </c>
      <c r="E20" s="3" t="s">
        <v>10</v>
      </c>
      <c r="F20" s="3" t="s">
        <v>23</v>
      </c>
      <c r="G20" s="3" t="s">
        <v>58</v>
      </c>
    </row>
    <row r="21" customFormat="false" ht="31.5" hidden="false" customHeight="true" outlineLevel="0" collapsed="false">
      <c r="A21" s="2" t="n">
        <v>20</v>
      </c>
      <c r="B21" s="3" t="s">
        <v>54</v>
      </c>
      <c r="C21" s="3" t="s">
        <v>59</v>
      </c>
      <c r="D21" s="3" t="s">
        <v>9</v>
      </c>
      <c r="E21" s="3" t="s">
        <v>10</v>
      </c>
      <c r="F21" s="3" t="s">
        <v>23</v>
      </c>
      <c r="G21" s="3" t="s">
        <v>60</v>
      </c>
    </row>
    <row r="22" customFormat="false" ht="31.5" hidden="false" customHeight="true" outlineLevel="0" collapsed="false">
      <c r="A22" s="2" t="n">
        <v>21</v>
      </c>
      <c r="B22" s="3" t="s">
        <v>54</v>
      </c>
      <c r="C22" s="3" t="s">
        <v>61</v>
      </c>
      <c r="D22" s="3" t="s">
        <v>9</v>
      </c>
      <c r="E22" s="3" t="s">
        <v>62</v>
      </c>
      <c r="F22" s="3" t="s">
        <v>11</v>
      </c>
      <c r="G22" s="3" t="s">
        <v>63</v>
      </c>
    </row>
    <row r="23" customFormat="false" ht="31.5" hidden="false" customHeight="true" outlineLevel="0" collapsed="false">
      <c r="A23" s="2" t="n">
        <v>22</v>
      </c>
      <c r="B23" s="3" t="s">
        <v>64</v>
      </c>
      <c r="C23" s="3" t="s">
        <v>65</v>
      </c>
      <c r="D23" s="3" t="s">
        <v>9</v>
      </c>
      <c r="E23" s="3" t="s">
        <v>10</v>
      </c>
      <c r="F23" s="3" t="s">
        <v>11</v>
      </c>
      <c r="G23" s="3" t="s">
        <v>66</v>
      </c>
    </row>
    <row r="24" customFormat="false" ht="31.5" hidden="false" customHeight="true" outlineLevel="0" collapsed="false">
      <c r="A24" s="2" t="n">
        <v>23</v>
      </c>
      <c r="B24" s="3" t="s">
        <v>64</v>
      </c>
      <c r="C24" s="3" t="s">
        <v>67</v>
      </c>
      <c r="D24" s="3" t="s">
        <v>9</v>
      </c>
      <c r="E24" s="3" t="s">
        <v>10</v>
      </c>
      <c r="F24" s="3" t="s">
        <v>11</v>
      </c>
      <c r="G24" s="3" t="s">
        <v>68</v>
      </c>
    </row>
  </sheetData>
  <autoFilter ref="A1:G24"/>
  <conditionalFormatting sqref="E2:E24">
    <cfRule type="cellIs" priority="2" operator="equal" aboveAverage="0" equalAverage="0" bottom="0" percent="0" rank="0" text="" dxfId="7">
      <formula>"Готово"</formula>
    </cfRule>
    <cfRule type="cellIs" priority="3" operator="equal" aboveAverage="0" equalAverage="0" bottom="0" percent="0" rank="0" text="" dxfId="8">
      <formula>"В работе"</formula>
    </cfRule>
    <cfRule type="cellIs" priority="4" operator="equal" aboveAverage="0" equalAverage="0" bottom="0" percent="0" rank="0" text="" dxfId="9">
      <formula>"Заблокировано"</formula>
    </cfRule>
    <cfRule type="cellIs" priority="5" operator="equal" aboveAverage="0" equalAverage="0" bottom="0" percent="0" rank="0" text="" dxfId="10">
      <formula>"Не начато"</formula>
    </cfRule>
  </conditionalFormatting>
  <conditionalFormatting sqref="F2:F24">
    <cfRule type="cellIs" priority="6" operator="equal" aboveAverage="0" equalAverage="0" bottom="0" percent="0" rank="0" text="" dxfId="9">
      <formula>"Критично"</formula>
    </cfRule>
    <cfRule type="cellIs" priority="7" operator="equal" aboveAverage="0" equalAverage="0" bottom="0" percent="0" rank="0" text="" dxfId="11">
      <formula>"Высокий"</formula>
    </cfRule>
    <cfRule type="cellIs" priority="8" operator="equal" aboveAverage="0" equalAverage="0" bottom="0" percent="0" rank="0" text="" dxfId="8">
      <formula>"Средний"</formula>
    </cfRule>
  </conditionalFormatting>
  <dataValidations count="3">
    <dataValidation allowBlank="true" errorStyle="stop" operator="between" showDropDown="false" showErrorMessage="false" showInputMessage="false" sqref="E2:E24" type="list">
      <formula1>"Не начато,В работе,Заблокировано,Готово,Отложено осознанно,Запланировано"</formula1>
      <formula2>0</formula2>
    </dataValidation>
    <dataValidation allowBlank="true" errorStyle="stop" operator="between" showDropDown="false" showErrorMessage="false" showInputMessage="false" sqref="F2:F24" type="list">
      <formula1>"Критично,Высокий,Средний,Низкий,—"</formula1>
      <formula2>0</formula2>
    </dataValidation>
    <dataValidation allowBlank="true" errorStyle="stop" operator="between" showDropDown="false" showErrorMessage="false" showInputMessage="false" sqref="D2:D24" type="list">
      <formula1>"Alena,Технический воркспейс,Alena + Технический воркспейс,Alena / юрист"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4" t="s">
        <v>69</v>
      </c>
      <c r="B1" s="4"/>
    </row>
    <row r="2" customFormat="false" ht="15" hidden="false" customHeight="false" outlineLevel="0" collapsed="false">
      <c r="A2" s="5" t="s">
        <v>70</v>
      </c>
      <c r="B2" s="5"/>
    </row>
    <row r="4" customFormat="false" ht="15" hidden="false" customHeight="false" outlineLevel="0" collapsed="false">
      <c r="A4" s="6" t="s">
        <v>71</v>
      </c>
      <c r="B4" s="6" t="s">
        <v>72</v>
      </c>
    </row>
    <row r="5" customFormat="false" ht="15" hidden="false" customHeight="false" outlineLevel="0" collapsed="false">
      <c r="A5" s="7" t="s">
        <v>73</v>
      </c>
      <c r="B5" s="8" t="n">
        <f aca="false">COUNTA('Чек-лист'!C2:C24)</f>
        <v>23</v>
      </c>
    </row>
    <row r="6" customFormat="false" ht="15" hidden="false" customHeight="false" outlineLevel="0" collapsed="false">
      <c r="A6" s="7" t="s">
        <v>74</v>
      </c>
      <c r="B6" s="8" t="n">
        <f aca="false">COUNTIF('Чек-лист'!E2:E24,"Готово")</f>
        <v>0</v>
      </c>
    </row>
    <row r="7" customFormat="false" ht="15" hidden="false" customHeight="false" outlineLevel="0" collapsed="false">
      <c r="A7" s="7" t="s">
        <v>75</v>
      </c>
      <c r="B7" s="8" t="n">
        <f aca="false">COUNTIF('Чек-лист'!E2:E24,"В работе")</f>
        <v>0</v>
      </c>
    </row>
    <row r="8" customFormat="false" ht="15" hidden="false" customHeight="false" outlineLevel="0" collapsed="false">
      <c r="A8" s="7" t="s">
        <v>76</v>
      </c>
      <c r="B8" s="8" t="n">
        <f aca="false">COUNTIF('Чек-лист'!E2:E24,"Заблокировано")</f>
        <v>0</v>
      </c>
    </row>
    <row r="9" customFormat="false" ht="15" hidden="false" customHeight="false" outlineLevel="0" collapsed="false">
      <c r="A9" s="7" t="s">
        <v>10</v>
      </c>
      <c r="B9" s="8" t="n">
        <f aca="false">COUNTIF('Чек-лист'!E2:E24,"Не начато")</f>
        <v>21</v>
      </c>
    </row>
    <row r="10" customFormat="false" ht="15" hidden="false" customHeight="false" outlineLevel="0" collapsed="false">
      <c r="A10" s="7" t="s">
        <v>77</v>
      </c>
      <c r="B10" s="8" t="n">
        <f aca="false">COUNTIF('Чек-лист'!F2:F24,"Критично")</f>
        <v>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2026-08-23T12:55:14Z</dcterms:created>
  <dc:creator>openpyxl</dc:creator>
  <dc:description/>
  <dc:language>en-US</dc:language>
  <cp:lastModifiedBy/>
  <dcterms:modified xsi:type="dcterms:W3CDTF">2026-08-23T12:55:14Z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